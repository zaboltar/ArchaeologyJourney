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12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GitData\ArchaeologyJourney\DigSite\New Arcaism\uarm 2025 2\"/>
    </mc:Choice>
  </mc:AlternateContent>
  <xr:revisionPtr revIDLastSave="0" documentId="13_ncr:1_{D87D884C-EA83-4DE8-AD41-A9E6EFFA2B35}" xr6:coauthVersionLast="47" xr6:coauthVersionMax="47" xr10:uidLastSave="{00000000-0000-0000-0000-000000000000}"/>
  <bookViews>
    <workbookView xWindow="9675" yWindow="0" windowWidth="10860" windowHeight="10785" xr2:uid="{1E955969-53D8-4BFC-8A4C-F24E13D91194}"/>
  </bookViews>
  <sheets>
    <sheet name="Sheet1" sheetId="1" r:id="rId1"/>
    <sheet name="Sheet2" sheetId="2" r:id="rId2"/>
  </sheet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J5" i="1" l="1"/>
  <c r="I5" i="1" s="1"/>
  <c r="J6" i="1"/>
  <c r="I6" i="1" s="1"/>
  <c r="J7" i="1"/>
  <c r="I7" i="1" s="1"/>
  <c r="J8" i="1"/>
  <c r="I8" i="1" s="1"/>
  <c r="J9" i="1"/>
  <c r="I9" i="1" s="1"/>
  <c r="J10" i="1"/>
  <c r="I10" i="1" s="1"/>
  <c r="J11" i="1"/>
  <c r="I11" i="1" s="1"/>
  <c r="J12" i="1"/>
  <c r="I12" i="1" s="1"/>
  <c r="J13" i="1"/>
  <c r="I13" i="1" s="1"/>
  <c r="J14" i="1"/>
  <c r="I14" i="1" s="1"/>
  <c r="J15" i="1"/>
  <c r="I15" i="1" s="1"/>
  <c r="J16" i="1"/>
  <c r="I16" i="1" s="1"/>
  <c r="J17" i="1"/>
  <c r="I17" i="1" s="1"/>
  <c r="J18" i="1"/>
  <c r="I18" i="1" s="1"/>
  <c r="J19" i="1"/>
  <c r="I19" i="1" s="1"/>
  <c r="J20" i="1"/>
  <c r="I20" i="1" s="1"/>
  <c r="J21" i="1"/>
  <c r="I21" i="1" s="1"/>
  <c r="J22" i="1"/>
  <c r="I22" i="1" s="1"/>
  <c r="J23" i="1"/>
  <c r="I23" i="1" s="1"/>
  <c r="J24" i="1"/>
  <c r="I24" i="1" s="1"/>
  <c r="J25" i="1"/>
  <c r="I25" i="1" s="1"/>
  <c r="J26" i="1"/>
  <c r="I26" i="1" s="1"/>
  <c r="J27" i="1"/>
  <c r="I27" i="1" s="1"/>
  <c r="J28" i="1"/>
  <c r="I28" i="1" s="1"/>
  <c r="J29" i="1"/>
  <c r="I29" i="1" s="1"/>
  <c r="J30" i="1"/>
  <c r="I30" i="1" s="1"/>
  <c r="J31" i="1"/>
  <c r="I31" i="1" s="1"/>
  <c r="J32" i="1"/>
  <c r="I32" i="1" s="1"/>
  <c r="J33" i="1"/>
  <c r="I33" i="1" s="1"/>
  <c r="J34" i="1"/>
  <c r="I34" i="1" s="1"/>
  <c r="J35" i="1"/>
  <c r="I35" i="1" s="1"/>
  <c r="J36" i="1"/>
  <c r="I36" i="1" s="1"/>
  <c r="J37" i="1"/>
  <c r="I37" i="1" s="1"/>
  <c r="J38" i="1"/>
  <c r="I38" i="1" s="1"/>
  <c r="J39" i="1"/>
  <c r="I39" i="1" s="1"/>
  <c r="J4" i="1"/>
  <c r="I4" i="1" s="1"/>
  <c r="L6" i="2"/>
  <c r="L8" i="2"/>
  <c r="L9" i="2"/>
  <c r="L11" i="2"/>
  <c r="L12" i="2"/>
  <c r="L13" i="2"/>
  <c r="L14" i="2"/>
  <c r="L15" i="2"/>
  <c r="L16" i="2"/>
  <c r="L18" i="2"/>
  <c r="L19" i="2"/>
  <c r="L20" i="2"/>
  <c r="L21" i="2"/>
  <c r="L22" i="2"/>
  <c r="L23" i="2"/>
  <c r="L26" i="2"/>
  <c r="L27" i="2"/>
  <c r="L28" i="2"/>
  <c r="L29" i="2"/>
  <c r="L30" i="2"/>
  <c r="L4" i="2"/>
  <c r="K5" i="2"/>
  <c r="L5" i="2" s="1"/>
  <c r="K6" i="2"/>
  <c r="K7" i="2"/>
  <c r="L7" i="2" s="1"/>
  <c r="K8" i="2"/>
  <c r="K9" i="2"/>
  <c r="K10" i="2"/>
  <c r="L10" i="2" s="1"/>
  <c r="K11" i="2"/>
  <c r="K12" i="2"/>
  <c r="K13" i="2"/>
  <c r="K14" i="2"/>
  <c r="K15" i="2"/>
  <c r="K16" i="2"/>
  <c r="K17" i="2"/>
  <c r="L17" i="2" s="1"/>
  <c r="K18" i="2"/>
  <c r="K19" i="2"/>
  <c r="K20" i="2"/>
  <c r="K21" i="2"/>
  <c r="K22" i="2"/>
  <c r="K23" i="2"/>
  <c r="K24" i="2"/>
  <c r="L24" i="2" s="1"/>
  <c r="K25" i="2"/>
  <c r="L25" i="2" s="1"/>
  <c r="K26" i="2"/>
  <c r="K27" i="2"/>
  <c r="K28" i="2"/>
  <c r="K29" i="2"/>
  <c r="K30" i="2"/>
  <c r="K4" i="2"/>
</calcChain>
</file>

<file path=xl/sharedStrings.xml><?xml version="1.0" encoding="utf-8"?>
<sst xmlns="http://schemas.openxmlformats.org/spreadsheetml/2006/main" count="147" uniqueCount="136">
  <si>
    <t>Daniel Chaw</t>
  </si>
  <si>
    <t>J.C. Díaz</t>
  </si>
  <si>
    <t>apellido</t>
  </si>
  <si>
    <t>nombre</t>
  </si>
  <si>
    <t>control 1</t>
  </si>
  <si>
    <t>control 2</t>
  </si>
  <si>
    <t>control 3</t>
  </si>
  <si>
    <t>control 4</t>
  </si>
  <si>
    <t>Bravo</t>
  </si>
  <si>
    <t>Castro</t>
  </si>
  <si>
    <t>Cristian</t>
  </si>
  <si>
    <t xml:space="preserve">Chipana </t>
  </si>
  <si>
    <t>Iris</t>
  </si>
  <si>
    <t xml:space="preserve">Coronel </t>
  </si>
  <si>
    <t>Anderson</t>
  </si>
  <si>
    <t>Erhuay</t>
  </si>
  <si>
    <t>Annie</t>
  </si>
  <si>
    <t>Fasabi</t>
  </si>
  <si>
    <t>Yoveli</t>
  </si>
  <si>
    <t xml:space="preserve">Fernández </t>
  </si>
  <si>
    <t>Javier</t>
  </si>
  <si>
    <t>Gonzales</t>
  </si>
  <si>
    <t>Yenny</t>
  </si>
  <si>
    <t>Huachacca</t>
  </si>
  <si>
    <t>Margot</t>
  </si>
  <si>
    <t>Huayta</t>
  </si>
  <si>
    <t>Raquel</t>
  </si>
  <si>
    <t>Lapa</t>
  </si>
  <si>
    <t>Roberto</t>
  </si>
  <si>
    <t>Martínez</t>
  </si>
  <si>
    <t>Marco</t>
  </si>
  <si>
    <t>Mendoza Quispe</t>
  </si>
  <si>
    <t>Carmen</t>
  </si>
  <si>
    <t>Mendoza Tinoco</t>
  </si>
  <si>
    <t>Eimy</t>
  </si>
  <si>
    <t>Mescco</t>
  </si>
  <si>
    <t>Katiusca</t>
  </si>
  <si>
    <t>Paitan</t>
  </si>
  <si>
    <t>Xiomara</t>
  </si>
  <si>
    <t>Paquirachi</t>
  </si>
  <si>
    <t>Carolina</t>
  </si>
  <si>
    <t>Paz</t>
  </si>
  <si>
    <t>Olenka</t>
  </si>
  <si>
    <t>Ramirez</t>
  </si>
  <si>
    <t>Melany</t>
  </si>
  <si>
    <t>Roman</t>
  </si>
  <si>
    <t>Mayumi</t>
  </si>
  <si>
    <t>Ruiz</t>
  </si>
  <si>
    <t>Samira</t>
  </si>
  <si>
    <t xml:space="preserve">Sanchez </t>
  </si>
  <si>
    <t>Naysha</t>
  </si>
  <si>
    <t xml:space="preserve">Solis </t>
  </si>
  <si>
    <t>Lucía</t>
  </si>
  <si>
    <t>Tadeo</t>
  </si>
  <si>
    <t>Milena</t>
  </si>
  <si>
    <t>Torres</t>
  </si>
  <si>
    <t>Michelly</t>
  </si>
  <si>
    <t>Vasquez</t>
  </si>
  <si>
    <t>Mairyn</t>
  </si>
  <si>
    <t>Yupanqui</t>
  </si>
  <si>
    <t>Adriana</t>
  </si>
  <si>
    <t>Asmat</t>
  </si>
  <si>
    <t>Mónica</t>
  </si>
  <si>
    <t>Carhua</t>
  </si>
  <si>
    <t>Carlos</t>
  </si>
  <si>
    <t>Graciela</t>
  </si>
  <si>
    <t>Chavarry</t>
  </si>
  <si>
    <t xml:space="preserve">Chavez </t>
  </si>
  <si>
    <t>Abraham</t>
  </si>
  <si>
    <t>Chumpate</t>
  </si>
  <si>
    <t>Cristóbal</t>
  </si>
  <si>
    <t>Cruz</t>
  </si>
  <si>
    <t>Melissa</t>
  </si>
  <si>
    <t>Diaz</t>
  </si>
  <si>
    <t>Deisy</t>
  </si>
  <si>
    <t>Durand</t>
  </si>
  <si>
    <t>Nicole</t>
  </si>
  <si>
    <t>Flores</t>
  </si>
  <si>
    <t>Sarai</t>
  </si>
  <si>
    <t>Fuentes</t>
  </si>
  <si>
    <t>Ivonne</t>
  </si>
  <si>
    <t xml:space="preserve">Fuster </t>
  </si>
  <si>
    <t>Gloria</t>
  </si>
  <si>
    <t>Yamila</t>
  </si>
  <si>
    <t>Gonzáles</t>
  </si>
  <si>
    <t>Fátima</t>
  </si>
  <si>
    <t>Guerrero</t>
  </si>
  <si>
    <t>Angie</t>
  </si>
  <si>
    <t>Gutierrez</t>
  </si>
  <si>
    <t>Jackeline</t>
  </si>
  <si>
    <t>Huaracconi</t>
  </si>
  <si>
    <t>Ingaruca</t>
  </si>
  <si>
    <t>Eyzhel</t>
  </si>
  <si>
    <t>Jimenez</t>
  </si>
  <si>
    <t>Cinthya</t>
  </si>
  <si>
    <t>Julca</t>
  </si>
  <si>
    <t>Lenin</t>
  </si>
  <si>
    <t>López Anton</t>
  </si>
  <si>
    <t>Dana</t>
  </si>
  <si>
    <t>López Carranza</t>
  </si>
  <si>
    <t>Kathia</t>
  </si>
  <si>
    <t>Mantilla</t>
  </si>
  <si>
    <t>Ronaldinho</t>
  </si>
  <si>
    <t>Nuñez</t>
  </si>
  <si>
    <t>Celia</t>
  </si>
  <si>
    <t>Portugal</t>
  </si>
  <si>
    <t>Belén</t>
  </si>
  <si>
    <t>Quijada</t>
  </si>
  <si>
    <t>Mirian</t>
  </si>
  <si>
    <t>Sharon</t>
  </si>
  <si>
    <t>Silva</t>
  </si>
  <si>
    <t>Laydy</t>
  </si>
  <si>
    <t>Soto</t>
  </si>
  <si>
    <t>Geraldine</t>
  </si>
  <si>
    <t>Tisnado</t>
  </si>
  <si>
    <t>Emerita</t>
  </si>
  <si>
    <t>Trillo</t>
  </si>
  <si>
    <t>Josue</t>
  </si>
  <si>
    <t>Ramos</t>
  </si>
  <si>
    <t>Rodríguez</t>
  </si>
  <si>
    <t>Karen</t>
  </si>
  <si>
    <t>Vargas</t>
  </si>
  <si>
    <t>Alvaro</t>
  </si>
  <si>
    <t>Franco</t>
  </si>
  <si>
    <t>Vilavila</t>
  </si>
  <si>
    <t>Mayli</t>
  </si>
  <si>
    <t>Vilca</t>
  </si>
  <si>
    <t>Mariaelena</t>
  </si>
  <si>
    <t>Claudia</t>
  </si>
  <si>
    <t>Yuliet</t>
  </si>
  <si>
    <t>suma</t>
  </si>
  <si>
    <t>PROM</t>
  </si>
  <si>
    <t>Final</t>
  </si>
  <si>
    <t>Suma</t>
  </si>
  <si>
    <t>Prom</t>
  </si>
  <si>
    <t>final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</si>
</sst>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1"/>
      <color theme="1"/>
      <name val="Calibri"/>
      <family val="2"/>
      <scheme val="minor"/>
    </font>
    <font>
      <sz val="11"/>
      <color rgb="FFFF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20" fontId="0" fillId="0" borderId="0" xfId="0" applyNumberFormat="1"/>
    <xf numFmtId="0" fontId="1" fillId="0" borderId="0" xfId="0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520877C-A504-4982-8E72-1B7905ABDA62}">
  <dimension ref="A1:J40"/>
  <sheetViews>
    <sheetView tabSelected="1" topLeftCell="A22" zoomScale="85" zoomScaleNormal="85" workbookViewId="0">
      <selection activeCell="A26" sqref="A26"/>
    </sheetView>
  </sheetViews>
  <sheetFormatPr defaultRowHeight="15" x14ac:dyDescent="0.25"/>
  <sheetData>
    <row r="1" spans="1:10" x14ac:dyDescent="0.25">
      <c r="B1" t="s">
        <v>0</v>
      </c>
      <c r="C1" s="1">
        <v>0.47916666666666669</v>
      </c>
    </row>
    <row r="3" spans="1:10" x14ac:dyDescent="0.25">
      <c r="A3" s="2" t="s">
        <v>135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s="2" t="s">
        <v>135</v>
      </c>
      <c r="I3" t="s">
        <v>134</v>
      </c>
      <c r="J3" t="s">
        <v>133</v>
      </c>
    </row>
    <row r="4" spans="1:10" x14ac:dyDescent="0.25">
      <c r="A4" s="2">
        <v>17</v>
      </c>
      <c r="B4" t="s">
        <v>61</v>
      </c>
      <c r="C4" t="s">
        <v>62</v>
      </c>
      <c r="D4">
        <v>14</v>
      </c>
      <c r="E4">
        <v>20</v>
      </c>
      <c r="F4">
        <v>17</v>
      </c>
      <c r="G4" s="2">
        <v>17</v>
      </c>
      <c r="I4">
        <f>J4/3</f>
        <v>17</v>
      </c>
      <c r="J4">
        <f t="shared" ref="J4:J39" si="0">D4+E4+F4</f>
        <v>51</v>
      </c>
    </row>
    <row r="5" spans="1:10" x14ac:dyDescent="0.25">
      <c r="A5" s="2">
        <v>15</v>
      </c>
      <c r="B5" t="s">
        <v>63</v>
      </c>
      <c r="C5" t="s">
        <v>64</v>
      </c>
      <c r="D5">
        <v>16</v>
      </c>
      <c r="E5">
        <v>13</v>
      </c>
      <c r="F5">
        <v>16</v>
      </c>
      <c r="G5" s="2">
        <v>15</v>
      </c>
      <c r="I5">
        <f t="shared" ref="I5:I39" si="1">J5/3</f>
        <v>15</v>
      </c>
      <c r="J5">
        <f t="shared" si="0"/>
        <v>45</v>
      </c>
    </row>
    <row r="6" spans="1:10" x14ac:dyDescent="0.25">
      <c r="A6" s="2">
        <v>16</v>
      </c>
      <c r="B6" t="s">
        <v>66</v>
      </c>
      <c r="C6" t="s">
        <v>65</v>
      </c>
      <c r="D6">
        <v>15</v>
      </c>
      <c r="E6">
        <v>19</v>
      </c>
      <c r="F6">
        <v>15</v>
      </c>
      <c r="G6" s="2">
        <v>16</v>
      </c>
      <c r="I6">
        <f t="shared" si="1"/>
        <v>16.333333333333332</v>
      </c>
      <c r="J6">
        <f t="shared" si="0"/>
        <v>49</v>
      </c>
    </row>
    <row r="7" spans="1:10" x14ac:dyDescent="0.25">
      <c r="A7" s="2">
        <v>18</v>
      </c>
      <c r="B7" t="s">
        <v>67</v>
      </c>
      <c r="C7" t="s">
        <v>68</v>
      </c>
      <c r="D7">
        <v>17</v>
      </c>
      <c r="E7">
        <v>19</v>
      </c>
      <c r="F7">
        <v>17</v>
      </c>
      <c r="G7" s="2">
        <v>18</v>
      </c>
      <c r="I7">
        <f t="shared" si="1"/>
        <v>17.666666666666668</v>
      </c>
      <c r="J7">
        <f t="shared" si="0"/>
        <v>53</v>
      </c>
    </row>
    <row r="8" spans="1:10" x14ac:dyDescent="0.25">
      <c r="A8" s="2">
        <v>14</v>
      </c>
      <c r="B8" t="s">
        <v>69</v>
      </c>
      <c r="C8" t="s">
        <v>70</v>
      </c>
      <c r="D8">
        <v>15</v>
      </c>
      <c r="E8">
        <v>14</v>
      </c>
      <c r="F8">
        <v>13</v>
      </c>
      <c r="G8" s="2">
        <v>14</v>
      </c>
      <c r="I8">
        <f t="shared" si="1"/>
        <v>14</v>
      </c>
      <c r="J8">
        <f t="shared" si="0"/>
        <v>42</v>
      </c>
    </row>
    <row r="9" spans="1:10" x14ac:dyDescent="0.25">
      <c r="A9" s="2">
        <v>16</v>
      </c>
      <c r="B9" t="s">
        <v>71</v>
      </c>
      <c r="C9" t="s">
        <v>72</v>
      </c>
      <c r="D9">
        <v>15</v>
      </c>
      <c r="E9">
        <v>18</v>
      </c>
      <c r="F9">
        <v>16</v>
      </c>
      <c r="G9" s="2">
        <v>16</v>
      </c>
      <c r="I9">
        <f t="shared" si="1"/>
        <v>16.333333333333332</v>
      </c>
      <c r="J9">
        <f t="shared" si="0"/>
        <v>49</v>
      </c>
    </row>
    <row r="10" spans="1:10" x14ac:dyDescent="0.25">
      <c r="A10" s="2">
        <v>16</v>
      </c>
      <c r="B10" t="s">
        <v>73</v>
      </c>
      <c r="C10" t="s">
        <v>74</v>
      </c>
      <c r="D10">
        <v>16</v>
      </c>
      <c r="E10">
        <v>18</v>
      </c>
      <c r="F10">
        <v>15</v>
      </c>
      <c r="G10" s="2">
        <v>16</v>
      </c>
      <c r="I10">
        <f t="shared" si="1"/>
        <v>16.333333333333332</v>
      </c>
      <c r="J10">
        <f t="shared" si="0"/>
        <v>49</v>
      </c>
    </row>
    <row r="11" spans="1:10" x14ac:dyDescent="0.25">
      <c r="A11" s="2">
        <v>16</v>
      </c>
      <c r="B11" t="s">
        <v>75</v>
      </c>
      <c r="C11" t="s">
        <v>76</v>
      </c>
      <c r="D11">
        <v>15</v>
      </c>
      <c r="E11">
        <v>20</v>
      </c>
      <c r="F11">
        <v>13</v>
      </c>
      <c r="G11" s="2">
        <v>16</v>
      </c>
      <c r="I11">
        <f t="shared" si="1"/>
        <v>16</v>
      </c>
      <c r="J11">
        <f t="shared" si="0"/>
        <v>48</v>
      </c>
    </row>
    <row r="12" spans="1:10" x14ac:dyDescent="0.25">
      <c r="A12" s="2">
        <v>15</v>
      </c>
      <c r="B12" t="s">
        <v>77</v>
      </c>
      <c r="C12" t="s">
        <v>78</v>
      </c>
      <c r="D12">
        <v>13</v>
      </c>
      <c r="E12">
        <v>19</v>
      </c>
      <c r="F12">
        <v>14</v>
      </c>
      <c r="G12" s="2">
        <v>15</v>
      </c>
      <c r="I12">
        <f t="shared" si="1"/>
        <v>15.333333333333334</v>
      </c>
      <c r="J12">
        <f t="shared" si="0"/>
        <v>46</v>
      </c>
    </row>
    <row r="13" spans="1:10" x14ac:dyDescent="0.25">
      <c r="A13" s="2">
        <v>14</v>
      </c>
      <c r="B13" t="s">
        <v>79</v>
      </c>
      <c r="C13" t="s">
        <v>80</v>
      </c>
      <c r="D13">
        <v>15</v>
      </c>
      <c r="E13">
        <v>18</v>
      </c>
      <c r="F13">
        <v>9</v>
      </c>
      <c r="G13" s="2">
        <v>14</v>
      </c>
      <c r="I13">
        <f t="shared" si="1"/>
        <v>14</v>
      </c>
      <c r="J13">
        <f t="shared" si="0"/>
        <v>42</v>
      </c>
    </row>
    <row r="14" spans="1:10" x14ac:dyDescent="0.25">
      <c r="A14" s="2">
        <v>15</v>
      </c>
      <c r="B14" t="s">
        <v>81</v>
      </c>
      <c r="C14" t="s">
        <v>129</v>
      </c>
      <c r="D14">
        <v>15</v>
      </c>
      <c r="E14">
        <v>15</v>
      </c>
      <c r="F14">
        <v>16</v>
      </c>
      <c r="G14" s="2">
        <v>15</v>
      </c>
      <c r="I14">
        <f t="shared" si="1"/>
        <v>15.333333333333334</v>
      </c>
      <c r="J14">
        <f t="shared" si="0"/>
        <v>46</v>
      </c>
    </row>
    <row r="15" spans="1:10" x14ac:dyDescent="0.25">
      <c r="A15" s="2">
        <v>14</v>
      </c>
      <c r="B15" t="s">
        <v>82</v>
      </c>
      <c r="C15" t="s">
        <v>83</v>
      </c>
      <c r="D15">
        <v>15</v>
      </c>
      <c r="E15">
        <v>18</v>
      </c>
      <c r="F15">
        <v>9</v>
      </c>
      <c r="G15" s="2">
        <v>14</v>
      </c>
      <c r="I15">
        <f t="shared" si="1"/>
        <v>14</v>
      </c>
      <c r="J15">
        <f t="shared" si="0"/>
        <v>42</v>
      </c>
    </row>
    <row r="16" spans="1:10" x14ac:dyDescent="0.25">
      <c r="A16" s="2">
        <v>14</v>
      </c>
      <c r="B16" t="s">
        <v>84</v>
      </c>
      <c r="C16" t="s">
        <v>85</v>
      </c>
      <c r="D16">
        <v>15</v>
      </c>
      <c r="E16">
        <v>17</v>
      </c>
      <c r="F16">
        <v>11</v>
      </c>
      <c r="G16" s="2">
        <v>14</v>
      </c>
      <c r="I16">
        <f t="shared" si="1"/>
        <v>14.333333333333334</v>
      </c>
      <c r="J16">
        <f t="shared" si="0"/>
        <v>43</v>
      </c>
    </row>
    <row r="17" spans="1:10" x14ac:dyDescent="0.25">
      <c r="A17" s="2">
        <v>17</v>
      </c>
      <c r="B17" t="s">
        <v>86</v>
      </c>
      <c r="C17" t="s">
        <v>87</v>
      </c>
      <c r="D17">
        <v>15</v>
      </c>
      <c r="E17">
        <v>19</v>
      </c>
      <c r="F17">
        <v>18</v>
      </c>
      <c r="G17" s="2">
        <v>17</v>
      </c>
      <c r="I17">
        <f t="shared" si="1"/>
        <v>17.333333333333332</v>
      </c>
      <c r="J17">
        <f t="shared" si="0"/>
        <v>52</v>
      </c>
    </row>
    <row r="18" spans="1:10" x14ac:dyDescent="0.25">
      <c r="A18" s="2">
        <v>17</v>
      </c>
      <c r="B18" t="s">
        <v>88</v>
      </c>
      <c r="C18" t="s">
        <v>89</v>
      </c>
      <c r="D18">
        <v>16</v>
      </c>
      <c r="E18">
        <v>19</v>
      </c>
      <c r="F18">
        <v>17</v>
      </c>
      <c r="G18" s="2">
        <v>17</v>
      </c>
      <c r="I18">
        <f t="shared" si="1"/>
        <v>17.333333333333332</v>
      </c>
      <c r="J18">
        <f t="shared" si="0"/>
        <v>52</v>
      </c>
    </row>
    <row r="19" spans="1:10" x14ac:dyDescent="0.25">
      <c r="A19" s="2">
        <v>16</v>
      </c>
      <c r="B19" t="s">
        <v>90</v>
      </c>
      <c r="C19" t="s">
        <v>38</v>
      </c>
      <c r="D19">
        <v>14</v>
      </c>
      <c r="E19">
        <v>18</v>
      </c>
      <c r="F19">
        <v>16</v>
      </c>
      <c r="G19" s="2">
        <v>16</v>
      </c>
      <c r="I19">
        <f t="shared" si="1"/>
        <v>16</v>
      </c>
      <c r="J19">
        <f t="shared" si="0"/>
        <v>48</v>
      </c>
    </row>
    <row r="20" spans="1:10" x14ac:dyDescent="0.25">
      <c r="A20" s="2">
        <v>14</v>
      </c>
      <c r="B20" t="s">
        <v>91</v>
      </c>
      <c r="C20" t="s">
        <v>92</v>
      </c>
      <c r="D20">
        <v>14</v>
      </c>
      <c r="E20">
        <v>15</v>
      </c>
      <c r="F20">
        <v>14</v>
      </c>
      <c r="G20" s="2">
        <v>14</v>
      </c>
      <c r="I20">
        <f t="shared" si="1"/>
        <v>14.333333333333334</v>
      </c>
      <c r="J20">
        <f t="shared" si="0"/>
        <v>43</v>
      </c>
    </row>
    <row r="21" spans="1:10" x14ac:dyDescent="0.25">
      <c r="A21" s="2">
        <v>15</v>
      </c>
      <c r="B21" t="s">
        <v>93</v>
      </c>
      <c r="C21" t="s">
        <v>94</v>
      </c>
      <c r="D21">
        <v>15</v>
      </c>
      <c r="E21">
        <v>16</v>
      </c>
      <c r="F21">
        <v>15</v>
      </c>
      <c r="G21" s="2">
        <v>15</v>
      </c>
      <c r="I21">
        <f t="shared" si="1"/>
        <v>15.333333333333334</v>
      </c>
      <c r="J21">
        <f t="shared" si="0"/>
        <v>46</v>
      </c>
    </row>
    <row r="22" spans="1:10" x14ac:dyDescent="0.25">
      <c r="A22" s="2">
        <v>15</v>
      </c>
      <c r="B22" t="s">
        <v>95</v>
      </c>
      <c r="C22" t="s">
        <v>96</v>
      </c>
      <c r="D22">
        <v>13</v>
      </c>
      <c r="E22">
        <v>17</v>
      </c>
      <c r="F22">
        <v>16</v>
      </c>
      <c r="G22" s="2">
        <v>15</v>
      </c>
      <c r="I22">
        <f t="shared" si="1"/>
        <v>15.333333333333334</v>
      </c>
      <c r="J22">
        <f t="shared" si="0"/>
        <v>46</v>
      </c>
    </row>
    <row r="23" spans="1:10" x14ac:dyDescent="0.25">
      <c r="A23" s="2">
        <v>14</v>
      </c>
      <c r="B23" t="s">
        <v>97</v>
      </c>
      <c r="C23" t="s">
        <v>98</v>
      </c>
      <c r="D23">
        <v>15</v>
      </c>
      <c r="E23">
        <v>15</v>
      </c>
      <c r="F23">
        <v>13</v>
      </c>
      <c r="G23" s="2">
        <v>14</v>
      </c>
      <c r="I23">
        <f t="shared" si="1"/>
        <v>14.333333333333334</v>
      </c>
      <c r="J23">
        <f t="shared" si="0"/>
        <v>43</v>
      </c>
    </row>
    <row r="24" spans="1:10" x14ac:dyDescent="0.25">
      <c r="A24" s="2">
        <v>16</v>
      </c>
      <c r="B24" t="s">
        <v>99</v>
      </c>
      <c r="C24" t="s">
        <v>100</v>
      </c>
      <c r="D24">
        <v>15</v>
      </c>
      <c r="E24">
        <v>18</v>
      </c>
      <c r="F24">
        <v>15</v>
      </c>
      <c r="G24" s="2">
        <v>16</v>
      </c>
      <c r="I24">
        <f t="shared" si="1"/>
        <v>16</v>
      </c>
      <c r="J24">
        <f t="shared" si="0"/>
        <v>48</v>
      </c>
    </row>
    <row r="25" spans="1:10" x14ac:dyDescent="0.25">
      <c r="A25" s="2">
        <v>17</v>
      </c>
      <c r="B25" t="s">
        <v>101</v>
      </c>
      <c r="C25" t="s">
        <v>102</v>
      </c>
      <c r="D25">
        <v>15</v>
      </c>
      <c r="E25">
        <v>19</v>
      </c>
      <c r="F25">
        <v>17</v>
      </c>
      <c r="G25" s="2">
        <v>17</v>
      </c>
      <c r="I25">
        <f t="shared" si="1"/>
        <v>17</v>
      </c>
      <c r="J25">
        <f t="shared" si="0"/>
        <v>51</v>
      </c>
    </row>
    <row r="26" spans="1:10" x14ac:dyDescent="0.25">
      <c r="A26" s="2">
        <v>16</v>
      </c>
      <c r="B26" t="s">
        <v>103</v>
      </c>
      <c r="C26" t="s">
        <v>104</v>
      </c>
      <c r="D26">
        <v>15</v>
      </c>
      <c r="E26">
        <v>12</v>
      </c>
      <c r="F26">
        <v>12</v>
      </c>
      <c r="G26" s="2">
        <v>16</v>
      </c>
      <c r="I26">
        <f t="shared" si="1"/>
        <v>13</v>
      </c>
      <c r="J26">
        <f t="shared" si="0"/>
        <v>39</v>
      </c>
    </row>
    <row r="27" spans="1:10" x14ac:dyDescent="0.25">
      <c r="A27" s="2">
        <v>15</v>
      </c>
      <c r="B27" t="s">
        <v>105</v>
      </c>
      <c r="C27" t="s">
        <v>106</v>
      </c>
      <c r="D27">
        <v>15</v>
      </c>
      <c r="E27">
        <v>17</v>
      </c>
      <c r="F27">
        <v>13</v>
      </c>
      <c r="G27" s="2">
        <v>15</v>
      </c>
      <c r="I27">
        <f t="shared" si="1"/>
        <v>15</v>
      </c>
      <c r="J27">
        <f t="shared" si="0"/>
        <v>45</v>
      </c>
    </row>
    <row r="28" spans="1:10" x14ac:dyDescent="0.25">
      <c r="A28" s="2">
        <v>17</v>
      </c>
      <c r="B28" t="s">
        <v>107</v>
      </c>
      <c r="C28" t="s">
        <v>108</v>
      </c>
      <c r="D28">
        <v>15</v>
      </c>
      <c r="E28">
        <v>19</v>
      </c>
      <c r="F28">
        <v>16</v>
      </c>
      <c r="G28" s="2">
        <v>17</v>
      </c>
      <c r="I28">
        <f t="shared" si="1"/>
        <v>16.666666666666668</v>
      </c>
      <c r="J28">
        <f t="shared" si="0"/>
        <v>50</v>
      </c>
    </row>
    <row r="29" spans="1:10" x14ac:dyDescent="0.25">
      <c r="A29" s="2">
        <v>17</v>
      </c>
      <c r="B29" t="s">
        <v>43</v>
      </c>
      <c r="C29" t="s">
        <v>109</v>
      </c>
      <c r="D29">
        <v>16</v>
      </c>
      <c r="E29">
        <v>18</v>
      </c>
      <c r="F29">
        <v>17</v>
      </c>
      <c r="G29" s="2">
        <v>17</v>
      </c>
      <c r="I29">
        <f t="shared" si="1"/>
        <v>17</v>
      </c>
      <c r="J29">
        <f t="shared" si="0"/>
        <v>51</v>
      </c>
    </row>
    <row r="30" spans="1:10" x14ac:dyDescent="0.25">
      <c r="A30" s="2">
        <v>13</v>
      </c>
      <c r="B30" t="s">
        <v>110</v>
      </c>
      <c r="C30" t="s">
        <v>111</v>
      </c>
      <c r="D30">
        <v>15</v>
      </c>
      <c r="E30">
        <v>10</v>
      </c>
      <c r="F30">
        <v>13</v>
      </c>
      <c r="G30" s="2">
        <v>13</v>
      </c>
      <c r="I30">
        <f t="shared" si="1"/>
        <v>12.666666666666666</v>
      </c>
      <c r="J30">
        <f t="shared" si="0"/>
        <v>38</v>
      </c>
    </row>
    <row r="31" spans="1:10" x14ac:dyDescent="0.25">
      <c r="A31" s="2">
        <v>16</v>
      </c>
      <c r="B31" t="s">
        <v>112</v>
      </c>
      <c r="C31" t="s">
        <v>113</v>
      </c>
      <c r="D31">
        <v>15</v>
      </c>
      <c r="E31">
        <v>16</v>
      </c>
      <c r="F31">
        <v>16</v>
      </c>
      <c r="G31" s="2">
        <v>16</v>
      </c>
      <c r="I31">
        <f t="shared" si="1"/>
        <v>15.666666666666666</v>
      </c>
      <c r="J31">
        <f t="shared" si="0"/>
        <v>47</v>
      </c>
    </row>
    <row r="32" spans="1:10" x14ac:dyDescent="0.25">
      <c r="A32" s="2">
        <v>16</v>
      </c>
      <c r="B32" t="s">
        <v>114</v>
      </c>
      <c r="C32" t="s">
        <v>115</v>
      </c>
      <c r="D32">
        <v>14</v>
      </c>
      <c r="E32">
        <v>19</v>
      </c>
      <c r="F32">
        <v>15</v>
      </c>
      <c r="G32" s="2">
        <v>16</v>
      </c>
      <c r="I32">
        <f t="shared" si="1"/>
        <v>16</v>
      </c>
      <c r="J32">
        <f t="shared" si="0"/>
        <v>48</v>
      </c>
    </row>
    <row r="33" spans="1:10" x14ac:dyDescent="0.25">
      <c r="A33" s="2">
        <v>13</v>
      </c>
      <c r="B33" t="s">
        <v>116</v>
      </c>
      <c r="C33" t="s">
        <v>117</v>
      </c>
      <c r="D33">
        <v>11</v>
      </c>
      <c r="E33">
        <v>16</v>
      </c>
      <c r="F33">
        <v>13</v>
      </c>
      <c r="G33" s="2">
        <v>13</v>
      </c>
      <c r="I33">
        <f t="shared" si="1"/>
        <v>13.333333333333334</v>
      </c>
      <c r="J33">
        <f t="shared" si="0"/>
        <v>40</v>
      </c>
    </row>
    <row r="34" spans="1:10" x14ac:dyDescent="0.25">
      <c r="A34" s="2">
        <v>17</v>
      </c>
      <c r="B34" t="s">
        <v>118</v>
      </c>
      <c r="C34" t="s">
        <v>85</v>
      </c>
      <c r="D34">
        <v>15</v>
      </c>
      <c r="E34">
        <v>19</v>
      </c>
      <c r="F34">
        <v>18</v>
      </c>
      <c r="G34" s="2">
        <v>17</v>
      </c>
      <c r="I34">
        <f t="shared" si="1"/>
        <v>17.333333333333332</v>
      </c>
      <c r="J34">
        <f t="shared" si="0"/>
        <v>52</v>
      </c>
    </row>
    <row r="35" spans="1:10" x14ac:dyDescent="0.25">
      <c r="A35" s="2">
        <v>15</v>
      </c>
      <c r="B35" t="s">
        <v>119</v>
      </c>
      <c r="C35" t="s">
        <v>120</v>
      </c>
      <c r="D35">
        <v>14</v>
      </c>
      <c r="E35">
        <v>17</v>
      </c>
      <c r="F35">
        <v>15</v>
      </c>
      <c r="G35" s="2">
        <v>15</v>
      </c>
      <c r="I35">
        <f t="shared" si="1"/>
        <v>15.333333333333334</v>
      </c>
      <c r="J35">
        <f t="shared" si="0"/>
        <v>46</v>
      </c>
    </row>
    <row r="36" spans="1:10" x14ac:dyDescent="0.25">
      <c r="A36" s="2">
        <v>14</v>
      </c>
      <c r="B36" t="s">
        <v>121</v>
      </c>
      <c r="C36" t="s">
        <v>122</v>
      </c>
      <c r="D36">
        <v>15</v>
      </c>
      <c r="E36">
        <v>12</v>
      </c>
      <c r="F36">
        <v>14</v>
      </c>
      <c r="G36" s="2">
        <v>14</v>
      </c>
      <c r="I36">
        <f t="shared" si="1"/>
        <v>13.666666666666666</v>
      </c>
      <c r="J36">
        <f t="shared" si="0"/>
        <v>41</v>
      </c>
    </row>
    <row r="37" spans="1:10" x14ac:dyDescent="0.25">
      <c r="A37" s="2">
        <v>17</v>
      </c>
      <c r="B37" t="s">
        <v>57</v>
      </c>
      <c r="C37" t="s">
        <v>123</v>
      </c>
      <c r="D37">
        <v>16</v>
      </c>
      <c r="E37">
        <v>19</v>
      </c>
      <c r="F37">
        <v>17</v>
      </c>
      <c r="G37" s="2">
        <v>17</v>
      </c>
      <c r="I37">
        <f t="shared" si="1"/>
        <v>17.333333333333332</v>
      </c>
      <c r="J37">
        <f t="shared" si="0"/>
        <v>52</v>
      </c>
    </row>
    <row r="38" spans="1:10" x14ac:dyDescent="0.25">
      <c r="A38" s="2">
        <v>15</v>
      </c>
      <c r="B38" t="s">
        <v>124</v>
      </c>
      <c r="C38" t="s">
        <v>125</v>
      </c>
      <c r="D38">
        <v>16</v>
      </c>
      <c r="E38">
        <v>15</v>
      </c>
      <c r="F38">
        <v>15</v>
      </c>
      <c r="G38" s="2">
        <v>15</v>
      </c>
      <c r="I38">
        <f t="shared" si="1"/>
        <v>15.333333333333334</v>
      </c>
      <c r="J38">
        <f t="shared" si="0"/>
        <v>46</v>
      </c>
    </row>
    <row r="39" spans="1:10" x14ac:dyDescent="0.25">
      <c r="A39" s="2">
        <v>15</v>
      </c>
      <c r="B39" t="s">
        <v>126</v>
      </c>
      <c r="C39" t="s">
        <v>127</v>
      </c>
      <c r="D39">
        <v>15</v>
      </c>
      <c r="E39">
        <v>16</v>
      </c>
      <c r="F39">
        <v>14</v>
      </c>
      <c r="G39" s="2">
        <v>15</v>
      </c>
      <c r="I39">
        <f t="shared" si="1"/>
        <v>15</v>
      </c>
      <c r="J39">
        <f t="shared" si="0"/>
        <v>45</v>
      </c>
    </row>
    <row r="40" spans="1:10" x14ac:dyDescent="0.25">
      <c r="A40" s="2"/>
      <c r="G4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4512DDF-8C11-43C9-9786-4DDF58AF77AD}">
  <dimension ref="A1:L30"/>
  <sheetViews>
    <sheetView zoomScale="70" zoomScaleNormal="70" workbookViewId="0">
      <selection activeCell="B13" sqref="B13"/>
    </sheetView>
  </sheetViews>
  <sheetFormatPr defaultRowHeight="15" x14ac:dyDescent="0.25"/>
  <cols>
    <col min="2" max="2" width="19" customWidth="1"/>
    <col min="3" max="3" width="10.5703125" customWidth="1"/>
  </cols>
  <sheetData>
    <row r="1" spans="1:12" x14ac:dyDescent="0.25">
      <c r="B1" t="s">
        <v>1</v>
      </c>
      <c r="C1" s="1">
        <v>9.7222222222222224E-2</v>
      </c>
    </row>
    <row r="3" spans="1:12" x14ac:dyDescent="0.25">
      <c r="A3" s="2" t="s">
        <v>132</v>
      </c>
      <c r="B3" t="s">
        <v>2</v>
      </c>
      <c r="C3" t="s">
        <v>3</v>
      </c>
      <c r="D3" t="s">
        <v>4</v>
      </c>
      <c r="E3" t="s">
        <v>5</v>
      </c>
      <c r="F3" t="s">
        <v>6</v>
      </c>
      <c r="G3" t="s">
        <v>7</v>
      </c>
      <c r="H3" s="2" t="s">
        <v>132</v>
      </c>
      <c r="K3" t="s">
        <v>130</v>
      </c>
      <c r="L3" t="s">
        <v>131</v>
      </c>
    </row>
    <row r="4" spans="1:12" x14ac:dyDescent="0.25">
      <c r="A4" s="2">
        <v>14</v>
      </c>
      <c r="B4" t="s">
        <v>8</v>
      </c>
      <c r="C4" t="s">
        <v>128</v>
      </c>
      <c r="D4">
        <v>12</v>
      </c>
      <c r="E4">
        <v>13</v>
      </c>
      <c r="F4">
        <v>12</v>
      </c>
      <c r="G4">
        <v>18</v>
      </c>
      <c r="H4" s="2">
        <v>14</v>
      </c>
      <c r="K4">
        <f>D4+E4+F4+G4</f>
        <v>55</v>
      </c>
      <c r="L4">
        <f t="shared" ref="L4:L30" si="0">K4/4</f>
        <v>13.75</v>
      </c>
    </row>
    <row r="5" spans="1:12" x14ac:dyDescent="0.25">
      <c r="A5" s="2">
        <v>15</v>
      </c>
      <c r="B5" t="s">
        <v>9</v>
      </c>
      <c r="C5" t="s">
        <v>10</v>
      </c>
      <c r="D5">
        <v>15</v>
      </c>
      <c r="E5">
        <v>14</v>
      </c>
      <c r="F5">
        <v>12</v>
      </c>
      <c r="G5">
        <v>17</v>
      </c>
      <c r="H5" s="2">
        <v>15</v>
      </c>
      <c r="K5">
        <f t="shared" ref="K5:K30" si="1">D5+E5+F5+G5</f>
        <v>58</v>
      </c>
      <c r="L5">
        <f t="shared" si="0"/>
        <v>14.5</v>
      </c>
    </row>
    <row r="6" spans="1:12" x14ac:dyDescent="0.25">
      <c r="A6" s="2">
        <v>12</v>
      </c>
      <c r="B6" t="s">
        <v>11</v>
      </c>
      <c r="C6" t="s">
        <v>12</v>
      </c>
      <c r="D6">
        <v>13</v>
      </c>
      <c r="E6">
        <v>11</v>
      </c>
      <c r="F6">
        <v>11</v>
      </c>
      <c r="G6">
        <v>13</v>
      </c>
      <c r="H6" s="2">
        <v>12</v>
      </c>
      <c r="K6">
        <f t="shared" si="1"/>
        <v>48</v>
      </c>
      <c r="L6">
        <f t="shared" si="0"/>
        <v>12</v>
      </c>
    </row>
    <row r="7" spans="1:12" x14ac:dyDescent="0.25">
      <c r="A7" s="2">
        <v>14</v>
      </c>
      <c r="B7" t="s">
        <v>13</v>
      </c>
      <c r="C7" t="s">
        <v>14</v>
      </c>
      <c r="D7">
        <v>13</v>
      </c>
      <c r="E7">
        <v>18</v>
      </c>
      <c r="F7">
        <v>10</v>
      </c>
      <c r="G7">
        <v>16</v>
      </c>
      <c r="H7" s="2">
        <v>14</v>
      </c>
      <c r="K7">
        <f t="shared" si="1"/>
        <v>57</v>
      </c>
      <c r="L7">
        <f t="shared" si="0"/>
        <v>14.25</v>
      </c>
    </row>
    <row r="8" spans="1:12" x14ac:dyDescent="0.25">
      <c r="A8" s="2">
        <v>14</v>
      </c>
      <c r="B8" t="s">
        <v>15</v>
      </c>
      <c r="C8" t="s">
        <v>16</v>
      </c>
      <c r="D8">
        <v>15</v>
      </c>
      <c r="E8">
        <v>14</v>
      </c>
      <c r="F8">
        <v>12</v>
      </c>
      <c r="G8">
        <v>16</v>
      </c>
      <c r="H8" s="2">
        <v>14</v>
      </c>
      <c r="K8">
        <f t="shared" si="1"/>
        <v>57</v>
      </c>
      <c r="L8">
        <f t="shared" si="0"/>
        <v>14.25</v>
      </c>
    </row>
    <row r="9" spans="1:12" x14ac:dyDescent="0.25">
      <c r="A9" s="2">
        <v>16</v>
      </c>
      <c r="B9" t="s">
        <v>17</v>
      </c>
      <c r="C9" t="s">
        <v>18</v>
      </c>
      <c r="D9">
        <v>16</v>
      </c>
      <c r="E9">
        <v>18</v>
      </c>
      <c r="F9">
        <v>13</v>
      </c>
      <c r="G9">
        <v>17</v>
      </c>
      <c r="H9" s="2">
        <v>16</v>
      </c>
      <c r="K9">
        <f t="shared" si="1"/>
        <v>64</v>
      </c>
      <c r="L9">
        <f t="shared" si="0"/>
        <v>16</v>
      </c>
    </row>
    <row r="10" spans="1:12" x14ac:dyDescent="0.25">
      <c r="A10" s="2">
        <v>13</v>
      </c>
      <c r="B10" t="s">
        <v>19</v>
      </c>
      <c r="C10" t="s">
        <v>20</v>
      </c>
      <c r="D10">
        <v>7</v>
      </c>
      <c r="E10">
        <v>15</v>
      </c>
      <c r="F10">
        <v>14</v>
      </c>
      <c r="G10">
        <v>15</v>
      </c>
      <c r="H10" s="2">
        <v>13</v>
      </c>
      <c r="K10">
        <f t="shared" si="1"/>
        <v>51</v>
      </c>
      <c r="L10">
        <f t="shared" si="0"/>
        <v>12.75</v>
      </c>
    </row>
    <row r="11" spans="1:12" x14ac:dyDescent="0.25">
      <c r="A11" s="2">
        <v>16</v>
      </c>
      <c r="B11" t="s">
        <v>21</v>
      </c>
      <c r="C11" t="s">
        <v>22</v>
      </c>
      <c r="D11">
        <v>15</v>
      </c>
      <c r="E11">
        <v>18</v>
      </c>
      <c r="F11">
        <v>16</v>
      </c>
      <c r="G11">
        <v>16</v>
      </c>
      <c r="H11" s="2">
        <v>16</v>
      </c>
      <c r="K11">
        <f t="shared" si="1"/>
        <v>65</v>
      </c>
      <c r="L11">
        <f t="shared" si="0"/>
        <v>16.25</v>
      </c>
    </row>
    <row r="12" spans="1:12" x14ac:dyDescent="0.25">
      <c r="A12" s="2">
        <v>15</v>
      </c>
      <c r="B12" t="s">
        <v>23</v>
      </c>
      <c r="C12" t="s">
        <v>24</v>
      </c>
      <c r="D12">
        <v>15</v>
      </c>
      <c r="E12">
        <v>18</v>
      </c>
      <c r="F12">
        <v>14</v>
      </c>
      <c r="G12">
        <v>13</v>
      </c>
      <c r="H12" s="2">
        <v>15</v>
      </c>
      <c r="K12">
        <f t="shared" si="1"/>
        <v>60</v>
      </c>
      <c r="L12">
        <f t="shared" si="0"/>
        <v>15</v>
      </c>
    </row>
    <row r="13" spans="1:12" x14ac:dyDescent="0.25">
      <c r="A13" s="2">
        <v>16</v>
      </c>
      <c r="B13" t="s">
        <v>25</v>
      </c>
      <c r="C13" t="s">
        <v>26</v>
      </c>
      <c r="D13">
        <v>14</v>
      </c>
      <c r="E13">
        <v>18</v>
      </c>
      <c r="F13">
        <v>17</v>
      </c>
      <c r="G13">
        <v>15</v>
      </c>
      <c r="H13" s="2">
        <v>16</v>
      </c>
      <c r="K13">
        <f t="shared" si="1"/>
        <v>64</v>
      </c>
      <c r="L13">
        <f t="shared" si="0"/>
        <v>16</v>
      </c>
    </row>
    <row r="14" spans="1:12" x14ac:dyDescent="0.25">
      <c r="A14" s="2">
        <v>15</v>
      </c>
      <c r="B14" t="s">
        <v>27</v>
      </c>
      <c r="C14" t="s">
        <v>28</v>
      </c>
      <c r="D14">
        <v>14</v>
      </c>
      <c r="E14">
        <v>17</v>
      </c>
      <c r="F14">
        <v>13</v>
      </c>
      <c r="G14">
        <v>14</v>
      </c>
      <c r="H14" s="2">
        <v>15</v>
      </c>
      <c r="K14">
        <f t="shared" si="1"/>
        <v>58</v>
      </c>
      <c r="L14">
        <f t="shared" si="0"/>
        <v>14.5</v>
      </c>
    </row>
    <row r="15" spans="1:12" x14ac:dyDescent="0.25">
      <c r="A15" s="2">
        <v>19</v>
      </c>
      <c r="B15" t="s">
        <v>29</v>
      </c>
      <c r="C15" t="s">
        <v>30</v>
      </c>
      <c r="D15">
        <v>18</v>
      </c>
      <c r="E15">
        <v>20</v>
      </c>
      <c r="F15">
        <v>18</v>
      </c>
      <c r="G15">
        <v>19</v>
      </c>
      <c r="H15" s="2">
        <v>19</v>
      </c>
      <c r="K15">
        <f t="shared" si="1"/>
        <v>75</v>
      </c>
      <c r="L15">
        <f t="shared" si="0"/>
        <v>18.75</v>
      </c>
    </row>
    <row r="16" spans="1:12" x14ac:dyDescent="0.25">
      <c r="A16" s="2">
        <v>14</v>
      </c>
      <c r="B16" t="s">
        <v>31</v>
      </c>
      <c r="C16" t="s">
        <v>32</v>
      </c>
      <c r="D16">
        <v>15</v>
      </c>
      <c r="E16">
        <v>14</v>
      </c>
      <c r="F16">
        <v>12</v>
      </c>
      <c r="G16">
        <v>14</v>
      </c>
      <c r="H16" s="2">
        <v>14</v>
      </c>
      <c r="K16">
        <f t="shared" si="1"/>
        <v>55</v>
      </c>
      <c r="L16">
        <f t="shared" si="0"/>
        <v>13.75</v>
      </c>
    </row>
    <row r="17" spans="1:12" x14ac:dyDescent="0.25">
      <c r="A17" s="2">
        <v>13</v>
      </c>
      <c r="B17" t="s">
        <v>33</v>
      </c>
      <c r="C17" t="s">
        <v>34</v>
      </c>
      <c r="D17">
        <v>9</v>
      </c>
      <c r="E17">
        <v>18</v>
      </c>
      <c r="F17">
        <v>9</v>
      </c>
      <c r="G17">
        <v>14</v>
      </c>
      <c r="H17" s="2">
        <v>13</v>
      </c>
      <c r="K17">
        <f t="shared" si="1"/>
        <v>50</v>
      </c>
      <c r="L17">
        <f t="shared" si="0"/>
        <v>12.5</v>
      </c>
    </row>
    <row r="18" spans="1:12" x14ac:dyDescent="0.25">
      <c r="A18" s="2">
        <v>15</v>
      </c>
      <c r="B18" t="s">
        <v>35</v>
      </c>
      <c r="C18" t="s">
        <v>36</v>
      </c>
      <c r="D18">
        <v>16</v>
      </c>
      <c r="E18">
        <v>17</v>
      </c>
      <c r="F18">
        <v>13</v>
      </c>
      <c r="G18">
        <v>12</v>
      </c>
      <c r="H18" s="2">
        <v>15</v>
      </c>
      <c r="K18">
        <f t="shared" si="1"/>
        <v>58</v>
      </c>
      <c r="L18">
        <f t="shared" si="0"/>
        <v>14.5</v>
      </c>
    </row>
    <row r="19" spans="1:12" x14ac:dyDescent="0.25">
      <c r="A19" s="2">
        <v>15</v>
      </c>
      <c r="B19" t="s">
        <v>37</v>
      </c>
      <c r="C19" t="s">
        <v>38</v>
      </c>
      <c r="D19">
        <v>15</v>
      </c>
      <c r="E19">
        <v>19</v>
      </c>
      <c r="F19">
        <v>13</v>
      </c>
      <c r="G19">
        <v>13</v>
      </c>
      <c r="H19" s="2">
        <v>15</v>
      </c>
      <c r="K19">
        <f t="shared" si="1"/>
        <v>60</v>
      </c>
      <c r="L19">
        <f t="shared" si="0"/>
        <v>15</v>
      </c>
    </row>
    <row r="20" spans="1:12" x14ac:dyDescent="0.25">
      <c r="A20" s="2">
        <v>17</v>
      </c>
      <c r="B20" t="s">
        <v>39</v>
      </c>
      <c r="C20" t="s">
        <v>40</v>
      </c>
      <c r="D20">
        <v>16</v>
      </c>
      <c r="E20">
        <v>17</v>
      </c>
      <c r="F20">
        <v>17</v>
      </c>
      <c r="G20">
        <v>18</v>
      </c>
      <c r="H20" s="2">
        <v>17</v>
      </c>
      <c r="K20">
        <f t="shared" si="1"/>
        <v>68</v>
      </c>
      <c r="L20">
        <f t="shared" si="0"/>
        <v>17</v>
      </c>
    </row>
    <row r="21" spans="1:12" x14ac:dyDescent="0.25">
      <c r="A21" s="2">
        <v>16</v>
      </c>
      <c r="B21" t="s">
        <v>41</v>
      </c>
      <c r="C21" t="s">
        <v>42</v>
      </c>
      <c r="D21">
        <v>17</v>
      </c>
      <c r="E21">
        <v>13</v>
      </c>
      <c r="F21">
        <v>14</v>
      </c>
      <c r="G21">
        <v>18</v>
      </c>
      <c r="H21" s="2">
        <v>16</v>
      </c>
      <c r="K21">
        <f t="shared" si="1"/>
        <v>62</v>
      </c>
      <c r="L21">
        <f t="shared" si="0"/>
        <v>15.5</v>
      </c>
    </row>
    <row r="22" spans="1:12" x14ac:dyDescent="0.25">
      <c r="A22" s="2">
        <v>16</v>
      </c>
      <c r="B22" t="s">
        <v>43</v>
      </c>
      <c r="C22" t="s">
        <v>44</v>
      </c>
      <c r="D22">
        <v>15</v>
      </c>
      <c r="E22">
        <v>15</v>
      </c>
      <c r="F22">
        <v>15</v>
      </c>
      <c r="G22">
        <v>18</v>
      </c>
      <c r="H22" s="2">
        <v>16</v>
      </c>
      <c r="K22">
        <f t="shared" si="1"/>
        <v>63</v>
      </c>
      <c r="L22">
        <f t="shared" si="0"/>
        <v>15.75</v>
      </c>
    </row>
    <row r="23" spans="1:12" x14ac:dyDescent="0.25">
      <c r="A23" s="2">
        <v>16</v>
      </c>
      <c r="B23" t="s">
        <v>45</v>
      </c>
      <c r="C23" t="s">
        <v>46</v>
      </c>
      <c r="D23">
        <v>15</v>
      </c>
      <c r="E23">
        <v>19</v>
      </c>
      <c r="F23">
        <v>15</v>
      </c>
      <c r="G23">
        <v>15</v>
      </c>
      <c r="H23" s="2">
        <v>16</v>
      </c>
      <c r="K23">
        <f t="shared" si="1"/>
        <v>64</v>
      </c>
      <c r="L23">
        <f t="shared" si="0"/>
        <v>16</v>
      </c>
    </row>
    <row r="24" spans="1:12" x14ac:dyDescent="0.25">
      <c r="A24" s="2">
        <v>14</v>
      </c>
      <c r="B24" t="s">
        <v>47</v>
      </c>
      <c r="C24" t="s">
        <v>48</v>
      </c>
      <c r="D24">
        <v>11</v>
      </c>
      <c r="E24">
        <v>18</v>
      </c>
      <c r="F24">
        <v>13</v>
      </c>
      <c r="G24">
        <v>13</v>
      </c>
      <c r="H24" s="2">
        <v>14</v>
      </c>
      <c r="K24">
        <f t="shared" si="1"/>
        <v>55</v>
      </c>
      <c r="L24">
        <f t="shared" si="0"/>
        <v>13.75</v>
      </c>
    </row>
    <row r="25" spans="1:12" x14ac:dyDescent="0.25">
      <c r="A25" s="2">
        <v>15</v>
      </c>
      <c r="B25" t="s">
        <v>49</v>
      </c>
      <c r="C25" t="s">
        <v>50</v>
      </c>
      <c r="D25">
        <v>16</v>
      </c>
      <c r="E25">
        <v>14</v>
      </c>
      <c r="F25">
        <v>14</v>
      </c>
      <c r="G25">
        <v>14</v>
      </c>
      <c r="H25" s="2">
        <v>15</v>
      </c>
      <c r="K25">
        <f t="shared" si="1"/>
        <v>58</v>
      </c>
      <c r="L25">
        <f t="shared" si="0"/>
        <v>14.5</v>
      </c>
    </row>
    <row r="26" spans="1:12" x14ac:dyDescent="0.25">
      <c r="A26" s="2">
        <v>10</v>
      </c>
      <c r="B26" t="s">
        <v>51</v>
      </c>
      <c r="C26" t="s">
        <v>52</v>
      </c>
      <c r="D26">
        <v>14</v>
      </c>
      <c r="E26">
        <v>9</v>
      </c>
      <c r="F26">
        <v>5</v>
      </c>
      <c r="G26">
        <v>11</v>
      </c>
      <c r="H26" s="2">
        <v>10</v>
      </c>
      <c r="K26">
        <f t="shared" si="1"/>
        <v>39</v>
      </c>
      <c r="L26">
        <f t="shared" si="0"/>
        <v>9.75</v>
      </c>
    </row>
    <row r="27" spans="1:12" x14ac:dyDescent="0.25">
      <c r="A27" s="2">
        <v>15</v>
      </c>
      <c r="B27" t="s">
        <v>53</v>
      </c>
      <c r="C27" t="s">
        <v>54</v>
      </c>
      <c r="D27">
        <v>15</v>
      </c>
      <c r="E27">
        <v>17</v>
      </c>
      <c r="F27">
        <v>15</v>
      </c>
      <c r="G27">
        <v>14</v>
      </c>
      <c r="H27" s="2">
        <v>15</v>
      </c>
      <c r="K27">
        <f t="shared" si="1"/>
        <v>61</v>
      </c>
      <c r="L27">
        <f t="shared" si="0"/>
        <v>15.25</v>
      </c>
    </row>
    <row r="28" spans="1:12" x14ac:dyDescent="0.25">
      <c r="A28" s="2">
        <v>15</v>
      </c>
      <c r="B28" t="s">
        <v>55</v>
      </c>
      <c r="C28" t="s">
        <v>56</v>
      </c>
      <c r="D28">
        <v>15</v>
      </c>
      <c r="E28">
        <v>12</v>
      </c>
      <c r="F28">
        <v>15</v>
      </c>
      <c r="G28">
        <v>16</v>
      </c>
      <c r="H28" s="2">
        <v>15</v>
      </c>
      <c r="K28">
        <f t="shared" si="1"/>
        <v>58</v>
      </c>
      <c r="L28">
        <f t="shared" si="0"/>
        <v>14.5</v>
      </c>
    </row>
    <row r="29" spans="1:12" x14ac:dyDescent="0.25">
      <c r="A29" s="2">
        <v>17</v>
      </c>
      <c r="B29" t="s">
        <v>57</v>
      </c>
      <c r="C29" t="s">
        <v>58</v>
      </c>
      <c r="D29">
        <v>14</v>
      </c>
      <c r="E29">
        <v>19</v>
      </c>
      <c r="F29">
        <v>17</v>
      </c>
      <c r="G29">
        <v>16</v>
      </c>
      <c r="H29" s="2">
        <v>17</v>
      </c>
      <c r="K29">
        <f t="shared" si="1"/>
        <v>66</v>
      </c>
      <c r="L29">
        <f t="shared" si="0"/>
        <v>16.5</v>
      </c>
    </row>
    <row r="30" spans="1:12" x14ac:dyDescent="0.25">
      <c r="A30" s="2">
        <v>14</v>
      </c>
      <c r="B30" t="s">
        <v>59</v>
      </c>
      <c r="C30" t="s">
        <v>60</v>
      </c>
      <c r="D30">
        <v>13</v>
      </c>
      <c r="E30">
        <v>17</v>
      </c>
      <c r="F30">
        <v>10</v>
      </c>
      <c r="G30">
        <v>15</v>
      </c>
      <c r="H30" s="2">
        <v>14</v>
      </c>
      <c r="K30">
        <f t="shared" si="1"/>
        <v>55</v>
      </c>
      <c r="L30">
        <f t="shared" si="0"/>
        <v>13.75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Sheet2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F. Garcìa Alcalà</dc:creator>
  <cp:lastModifiedBy>F. Garcìa Alcalà</cp:lastModifiedBy>
  <dcterms:created xsi:type="dcterms:W3CDTF">2025-09-14T01:02:46Z</dcterms:created>
  <dcterms:modified xsi:type="dcterms:W3CDTF">2026-01-08T17:00:32Z</dcterms:modified>
</cp:coreProperties>
</file>